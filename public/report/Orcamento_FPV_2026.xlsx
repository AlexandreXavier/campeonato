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GASTOS" sheetId="2" state="visible" r:id="rId4"/>
    <sheet name="RENDIMEN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<sst xmlns="http://schemas.openxmlformats.org/spreadsheetml/2006/main" count="150" uniqueCount="116">
  <si>
    <t xml:space="preserve">Orçamento 2026 — Federação Portuguesa de Vela</t>
  </si>
  <si>
    <t xml:space="preserve">Fonte: Plano de Atividades e Orçamento 2026 (FPV), aprovado em Assembleia Geral de 09-12-2025. Valores em euros.</t>
  </si>
  <si>
    <t xml:space="preserve">2025 (Inicial)</t>
  </si>
  <si>
    <t xml:space="preserve">2026 (Inicial)</t>
  </si>
  <si>
    <t xml:space="preserve">Total de Gastos</t>
  </si>
  <si>
    <t xml:space="preserve">Total de Rendimentos</t>
  </si>
  <si>
    <t xml:space="preserve">Resultado (Rendimentos - Gastos)</t>
  </si>
  <si>
    <t xml:space="preserve">Principais blocos de GASTOS para 2026:</t>
  </si>
  <si>
    <t xml:space="preserve">  • Atividades Regulares: 1.281.714 € (inclui Organização e Gestão, Desenvolvimento da Atividade Desportiva e Alto Rendimento e Seleções Nacionais)</t>
  </si>
  <si>
    <t xml:space="preserve">  • Programa de Preparação Olímpica: 477.445 € (Projeto Olímpico 432.700 € + Esperanças Olímpicas 44.745 €)</t>
  </si>
  <si>
    <t xml:space="preserve">Principais blocos de RENDIMENTOS para 2026:</t>
  </si>
  <si>
    <t xml:space="preserve">  • Subsídios à Exploração: 1.628.660 € (IPDJ 1.246.500 € + COP 382.160 €)</t>
  </si>
  <si>
    <t xml:space="preserve">  • Rendimentos Suplementares: 378.500 € (patrocínios, licenças, inscrições, formação, etc.)</t>
  </si>
  <si>
    <t xml:space="preserve">  • Rendimentos Administrativos: 14.000 €</t>
  </si>
  <si>
    <t xml:space="preserve">Notas:</t>
  </si>
  <si>
    <t xml:space="preserve">  • O orçamento está equilibrado: total de gastos = total de rendimentos.</t>
  </si>
  <si>
    <t xml:space="preserve">  • Proposta condicionada à aprovação das dotações públicas do IPDJ e do COP para 2026.</t>
  </si>
  <si>
    <t xml:space="preserve">  • Subtotais e totais reproduzidos tal como impressos no documento original (poderá haver pequenos desvios de arredondamento de 1 €).</t>
  </si>
  <si>
    <t xml:space="preserve">  • Detalhe completo nas folhas 'GASTOS' e 'RENDIMENTOS'.</t>
  </si>
  <si>
    <t xml:space="preserve">GASTOS — Detalhe das Despesas</t>
  </si>
  <si>
    <t xml:space="preserve">Federação Portuguesa de Vela · Plano de Atividades e Orçamento 2026 (valores em euros)</t>
  </si>
  <si>
    <t xml:space="preserve">Rubrica</t>
  </si>
  <si>
    <t xml:space="preserve">Variação €</t>
  </si>
  <si>
    <t xml:space="preserve">Variação %</t>
  </si>
  <si>
    <t xml:space="preserve">GASTOS (TOTAL)</t>
  </si>
  <si>
    <t xml:space="preserve">ATIVIDADES REGULARES</t>
  </si>
  <si>
    <t xml:space="preserve">Organização e Gestão</t>
  </si>
  <si>
    <t xml:space="preserve">Recursos Humanos</t>
  </si>
  <si>
    <t xml:space="preserve">Recursos Materiais - Tecnológicos - Fornecimentos - Serviços Externos</t>
  </si>
  <si>
    <t xml:space="preserve">Desenvolvimento da Actividade Desportiva</t>
  </si>
  <si>
    <t xml:space="preserve">Organização do Quadro Competitivo Nacional</t>
  </si>
  <si>
    <t xml:space="preserve">Campeonato de Portugal de Cruzeiros ORC</t>
  </si>
  <si>
    <t xml:space="preserve">Campeonato de Portugal Juniores e Absoluto</t>
  </si>
  <si>
    <t xml:space="preserve">Campeonato de Portugal de Juvenis e Infantis</t>
  </si>
  <si>
    <t xml:space="preserve">1º PAN de Optimist</t>
  </si>
  <si>
    <t xml:space="preserve">2º PAN de Optimist</t>
  </si>
  <si>
    <t xml:space="preserve">Taça de Portugal de Escolas de Vela</t>
  </si>
  <si>
    <t xml:space="preserve">Provas de Apuramento Nacional</t>
  </si>
  <si>
    <t xml:space="preserve">Campeonatos Nacionais</t>
  </si>
  <si>
    <t xml:space="preserve">Campeonatos Internacionais</t>
  </si>
  <si>
    <t xml:space="preserve">Campeonatos Águas Interiores</t>
  </si>
  <si>
    <t xml:space="preserve">Apoio a Agrupamentos de Clubes e Clubes</t>
  </si>
  <si>
    <t xml:space="preserve">Associação Regional de Vela do Norte</t>
  </si>
  <si>
    <t xml:space="preserve">Associação Regional de Vela do Centro</t>
  </si>
  <si>
    <t xml:space="preserve">Associação Regional de Vela do Sul</t>
  </si>
  <si>
    <t xml:space="preserve">Associação Regional de Vela da Madeira</t>
  </si>
  <si>
    <t xml:space="preserve">Associação Regional de Vela dos Açores</t>
  </si>
  <si>
    <t xml:space="preserve">Desenvolvimento do Desporto p/ Pessoas com Deficiência</t>
  </si>
  <si>
    <t xml:space="preserve">Desenvolvimento do Desporto Feminino</t>
  </si>
  <si>
    <t xml:space="preserve">Projeto Desenvolvimento Prática Desportiva Juvenil (Desporto Escolar)</t>
  </si>
  <si>
    <t xml:space="preserve">Despesas e Aquisições de Apoio ao Projecto DAD</t>
  </si>
  <si>
    <t xml:space="preserve">Projeto de Ética no Desporto</t>
  </si>
  <si>
    <t xml:space="preserve">Alto Rendimento e Seleções Nacionais</t>
  </si>
  <si>
    <t xml:space="preserve">Treinos e Estágios</t>
  </si>
  <si>
    <t xml:space="preserve">Classe ILCA 7</t>
  </si>
  <si>
    <t xml:space="preserve">Classe ILCA 6</t>
  </si>
  <si>
    <t xml:space="preserve">Classe 49ER</t>
  </si>
  <si>
    <t xml:space="preserve">Classe 470 Misto</t>
  </si>
  <si>
    <t xml:space="preserve">Classe IQFOIL</t>
  </si>
  <si>
    <t xml:space="preserve">Classe Fórmula KITE</t>
  </si>
  <si>
    <t xml:space="preserve">Classe 420</t>
  </si>
  <si>
    <t xml:space="preserve">Classe TECHNO</t>
  </si>
  <si>
    <t xml:space="preserve">Classe ILCA 4</t>
  </si>
  <si>
    <t xml:space="preserve">Classe Optimist</t>
  </si>
  <si>
    <t xml:space="preserve">Classe Vela Adaptada</t>
  </si>
  <si>
    <t xml:space="preserve">Classe Snipe</t>
  </si>
  <si>
    <t xml:space="preserve">Classe 49ER FX</t>
  </si>
  <si>
    <t xml:space="preserve">Classe FINN</t>
  </si>
  <si>
    <t xml:space="preserve">Competições Internacionais</t>
  </si>
  <si>
    <t xml:space="preserve">Classe IQFOIL M-F</t>
  </si>
  <si>
    <t xml:space="preserve">Classe Fórmula Kite M-F</t>
  </si>
  <si>
    <t xml:space="preserve">Classe 29ER</t>
  </si>
  <si>
    <t xml:space="preserve">Classe 49 Er FX</t>
  </si>
  <si>
    <t xml:space="preserve">Enquadramento Humano - ARSN</t>
  </si>
  <si>
    <t xml:space="preserve">Recursos Humanos - ARSN</t>
  </si>
  <si>
    <t xml:space="preserve">Enquadramento Técnico - ARSN</t>
  </si>
  <si>
    <t xml:space="preserve">Velejadores CAR-JAMOR</t>
  </si>
  <si>
    <t xml:space="preserve">Programa de Deteção de Talentos</t>
  </si>
  <si>
    <t xml:space="preserve">Aquisição e Manutenção de Material</t>
  </si>
  <si>
    <t xml:space="preserve">Material Desgaste Rápido</t>
  </si>
  <si>
    <t xml:space="preserve">Aquisição de Material</t>
  </si>
  <si>
    <t xml:space="preserve">Manutenção</t>
  </si>
  <si>
    <t xml:space="preserve">Formação de Recursos Humanos</t>
  </si>
  <si>
    <t xml:space="preserve">Programa de Promoção da Vela e do Mar</t>
  </si>
  <si>
    <t xml:space="preserve">Produção de Material Didático</t>
  </si>
  <si>
    <t xml:space="preserve">Apoio ao desenvolvimento de actividades</t>
  </si>
  <si>
    <t xml:space="preserve">Apoio para Material de Ensino de Vela</t>
  </si>
  <si>
    <t xml:space="preserve">Eventos Internacionais</t>
  </si>
  <si>
    <t xml:space="preserve">Gastos Não Elegíveis CP - Atividades Regulares</t>
  </si>
  <si>
    <t xml:space="preserve">PROGRAMA DE PREPARAÇÃO OLÍMPICA</t>
  </si>
  <si>
    <t xml:space="preserve">Projecto Olímpico</t>
  </si>
  <si>
    <t xml:space="preserve">Actividade</t>
  </si>
  <si>
    <t xml:space="preserve">Classe 470 MX</t>
  </si>
  <si>
    <t xml:space="preserve">Classe KITE F-M</t>
  </si>
  <si>
    <t xml:space="preserve">Enquadramento Técnico/Bolsas</t>
  </si>
  <si>
    <t xml:space="preserve">Bolsas de Treinadores</t>
  </si>
  <si>
    <t xml:space="preserve">Equipa Multidisciplinar</t>
  </si>
  <si>
    <t xml:space="preserve">Apetrechamento</t>
  </si>
  <si>
    <t xml:space="preserve">Esperanças Olímpicas</t>
  </si>
  <si>
    <t xml:space="preserve">RENDIMENTOS — Detalhe das Receitas</t>
  </si>
  <si>
    <t xml:space="preserve">RENDIMENTOS (TOTAL)</t>
  </si>
  <si>
    <t xml:space="preserve">Rendimentos Administrativos</t>
  </si>
  <si>
    <t xml:space="preserve">Rendimentos Suplementares</t>
  </si>
  <si>
    <t xml:space="preserve">Licenças</t>
  </si>
  <si>
    <t xml:space="preserve">Números de Vela</t>
  </si>
  <si>
    <t xml:space="preserve">Inscrições/Certificações</t>
  </si>
  <si>
    <t xml:space="preserve">Formação</t>
  </si>
  <si>
    <t xml:space="preserve">Gala dos Campeões</t>
  </si>
  <si>
    <t xml:space="preserve">Patrocinadores</t>
  </si>
  <si>
    <t xml:space="preserve">Subsídios à Exploração</t>
  </si>
  <si>
    <t xml:space="preserve">IPDJ</t>
  </si>
  <si>
    <t xml:space="preserve">Atividades Regulares</t>
  </si>
  <si>
    <t xml:space="preserve">Programa Nacional do Desporto para Todos</t>
  </si>
  <si>
    <t xml:space="preserve">COP</t>
  </si>
  <si>
    <t xml:space="preserve">Actividade Projecto Olímpico</t>
  </si>
  <si>
    <t xml:space="preserve">Projeto Esperanças Olímpicas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</si>
</sst>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;\-#,##0.00&quot; €&quot;;&quot;- €&quot;"/>
    <numFmt numFmtId="166" formatCode="0.0%;\-0.0%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8DB4E2"/>
        <bgColor rgb="FF9999FF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false" indent="3" shrinkToFit="false"/>
      <protection locked="true" hidden="false"/>
    </xf>
    <xf numFmtId="165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4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center" textRotation="0" wrapText="false" indent="5" shrinkToFit="false"/>
      <protection locked="true" hidden="false"/>
    </xf>
    <xf numFmtId="165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4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 t="s">
        <v>2</v>
      </c>
      <c r="C4" s="4" t="s">
        <v>3</v>
      </c>
    </row>
    <row r="5" customFormat="false" ht="15" hidden="false" customHeight="false" outlineLevel="0" collapsed="false">
      <c r="A5" s="5" t="s">
        <v>4</v>
      </c>
      <c r="B5" s="6" t="n">
        <v>1831846</v>
      </c>
      <c r="C5" s="6" t="n">
        <v>2021159</v>
      </c>
    </row>
    <row r="6" customFormat="false" ht="15" hidden="false" customHeight="false" outlineLevel="0" collapsed="false">
      <c r="A6" s="5" t="s">
        <v>5</v>
      </c>
      <c r="B6" s="6" t="n">
        <v>1831846</v>
      </c>
      <c r="C6" s="6" t="n">
        <v>2021159</v>
      </c>
    </row>
    <row r="7" customFormat="false" ht="15" hidden="false" customHeight="false" outlineLevel="0" collapsed="false">
      <c r="A7" s="5" t="s">
        <v>6</v>
      </c>
      <c r="B7" s="6" t="n">
        <f aca="false">B6-B5</f>
        <v>0</v>
      </c>
      <c r="C7" s="6" t="n">
        <f aca="false">C6-C5</f>
        <v>0</v>
      </c>
    </row>
    <row r="9" customFormat="false" ht="15" hidden="false" customHeight="false" outlineLevel="0" collapsed="false">
      <c r="A9" s="7"/>
    </row>
    <row r="10" customFormat="false" ht="15" hidden="false" customHeight="false" outlineLevel="0" collapsed="false">
      <c r="A10" s="8" t="s">
        <v>7</v>
      </c>
    </row>
    <row r="11" customFormat="false" ht="15" hidden="false" customHeight="false" outlineLevel="0" collapsed="false">
      <c r="A11" s="7" t="s">
        <v>8</v>
      </c>
    </row>
    <row r="12" customFormat="false" ht="15" hidden="false" customHeight="false" outlineLevel="0" collapsed="false">
      <c r="A12" s="7" t="s">
        <v>9</v>
      </c>
    </row>
    <row r="13" customFormat="false" ht="15" hidden="false" customHeight="false" outlineLevel="0" collapsed="false">
      <c r="A13" s="7"/>
    </row>
    <row r="14" customFormat="false" ht="15" hidden="false" customHeight="false" outlineLevel="0" collapsed="false">
      <c r="A14" s="8" t="s">
        <v>10</v>
      </c>
    </row>
    <row r="15" customFormat="false" ht="15" hidden="false" customHeight="false" outlineLevel="0" collapsed="false">
      <c r="A15" s="7" t="s">
        <v>11</v>
      </c>
    </row>
    <row r="16" customFormat="false" ht="15" hidden="false" customHeight="false" outlineLevel="0" collapsed="false">
      <c r="A16" s="7" t="s">
        <v>12</v>
      </c>
    </row>
    <row r="17" customFormat="false" ht="15" hidden="false" customHeight="false" outlineLevel="0" collapsed="false">
      <c r="A17" s="7" t="s">
        <v>13</v>
      </c>
    </row>
    <row r="18" customFormat="false" ht="15" hidden="false" customHeight="false" outlineLevel="0" collapsed="false">
      <c r="A18" s="7"/>
    </row>
    <row r="19" customFormat="false" ht="15" hidden="false" customHeight="false" outlineLevel="0" collapsed="false">
      <c r="A19" s="8" t="s">
        <v>14</v>
      </c>
    </row>
    <row r="20" customFormat="false" ht="15" hidden="false" customHeight="false" outlineLevel="0" collapsed="false">
      <c r="A20" s="7" t="s">
        <v>15</v>
      </c>
    </row>
    <row r="21" customFormat="false" ht="15" hidden="false" customHeight="false" outlineLevel="0" collapsed="false">
      <c r="A21" s="7" t="s">
        <v>16</v>
      </c>
    </row>
    <row r="22" customFormat="false" ht="15" hidden="false" customHeight="false" outlineLevel="0" collapsed="false">
      <c r="A22" s="7" t="s">
        <v>17</v>
      </c>
    </row>
    <row r="23" customFormat="false" ht="15" hidden="false" customHeight="false" outlineLevel="0" collapsed="false">
      <c r="A23" s="7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11"/>
  </cols>
  <sheetData>
    <row r="1" customFormat="false" ht="17.35" hidden="false" customHeight="false" outlineLevel="0" collapsed="false">
      <c r="A1" s="9" t="s">
        <v>19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10" t="s">
        <v>21</v>
      </c>
      <c r="B4" s="11" t="s">
        <v>2</v>
      </c>
      <c r="C4" s="11" t="s">
        <v>3</v>
      </c>
      <c r="D4" s="11" t="s">
        <v>22</v>
      </c>
      <c r="E4" s="11" t="s">
        <v>23</v>
      </c>
    </row>
    <row r="5" customFormat="false" ht="15" hidden="false" customHeight="false" outlineLevel="0" collapsed="false">
      <c r="A5" s="12" t="s">
        <v>24</v>
      </c>
      <c r="B5" s="13" t="n">
        <v>1831846</v>
      </c>
      <c r="C5" s="13" t="n">
        <v>2021159</v>
      </c>
      <c r="D5" s="13" t="n">
        <f aca="false">C5-B5</f>
        <v>189313</v>
      </c>
      <c r="E5" s="14" t="n">
        <f aca="false">IFERROR((C5-B5)/B5,"")</f>
        <v>0.103345477731207</v>
      </c>
    </row>
    <row r="6" customFormat="false" ht="15" hidden="false" customHeight="false" outlineLevel="0" collapsed="false">
      <c r="A6" s="15" t="s">
        <v>25</v>
      </c>
      <c r="B6" s="16" t="n">
        <v>1235074</v>
      </c>
      <c r="C6" s="16" t="n">
        <v>1281714</v>
      </c>
      <c r="D6" s="16" t="n">
        <f aca="false">C6-B6</f>
        <v>46640</v>
      </c>
      <c r="E6" s="17" t="n">
        <f aca="false">IFERROR((C6-B6)/B6,"")</f>
        <v>0.037762919468793</v>
      </c>
    </row>
    <row r="7" customFormat="false" ht="15" hidden="false" customHeight="false" outlineLevel="0" collapsed="false">
      <c r="A7" s="18" t="s">
        <v>26</v>
      </c>
      <c r="B7" s="19" t="n">
        <v>170376.36</v>
      </c>
      <c r="C7" s="19" t="n">
        <v>192709.25</v>
      </c>
      <c r="D7" s="19" t="n">
        <f aca="false">C7-B7</f>
        <v>22332.89</v>
      </c>
      <c r="E7" s="20" t="n">
        <f aca="false">IFERROR((C7-B7)/B7,"")</f>
        <v>0.131079746039885</v>
      </c>
    </row>
    <row r="8" customFormat="false" ht="15" hidden="false" customHeight="false" outlineLevel="0" collapsed="false">
      <c r="A8" s="21" t="s">
        <v>27</v>
      </c>
      <c r="B8" s="22" t="n">
        <v>133349.61</v>
      </c>
      <c r="C8" s="22" t="n">
        <v>160000</v>
      </c>
      <c r="D8" s="22" t="n">
        <f aca="false">C8-B8</f>
        <v>26650.39</v>
      </c>
      <c r="E8" s="23" t="n">
        <f aca="false">IFERROR((C8-B8)/B8,"")</f>
        <v>0.199853527880584</v>
      </c>
    </row>
    <row r="9" customFormat="false" ht="15" hidden="false" customHeight="false" outlineLevel="0" collapsed="false">
      <c r="A9" s="21" t="s">
        <v>28</v>
      </c>
      <c r="B9" s="22" t="n">
        <v>37026.75</v>
      </c>
      <c r="C9" s="22" t="n">
        <v>32709.25</v>
      </c>
      <c r="D9" s="22" t="n">
        <f aca="false">C9-B9</f>
        <v>-4317.5</v>
      </c>
      <c r="E9" s="23" t="n">
        <f aca="false">IFERROR((C9-B9)/B9,"")</f>
        <v>-0.116604887007366</v>
      </c>
    </row>
    <row r="10" customFormat="false" ht="15" hidden="false" customHeight="false" outlineLevel="0" collapsed="false">
      <c r="A10" s="18" t="s">
        <v>29</v>
      </c>
      <c r="B10" s="19" t="n">
        <v>428091.22</v>
      </c>
      <c r="C10" s="19" t="n">
        <v>470439.25</v>
      </c>
      <c r="D10" s="19" t="n">
        <f aca="false">C10-B10</f>
        <v>42348.03</v>
      </c>
      <c r="E10" s="20" t="n">
        <f aca="false">IFERROR((C10-B10)/B10,"")</f>
        <v>0.098922911803704</v>
      </c>
    </row>
    <row r="11" customFormat="false" ht="15" hidden="false" customHeight="false" outlineLevel="0" collapsed="false">
      <c r="A11" s="21" t="s">
        <v>27</v>
      </c>
      <c r="B11" s="22" t="n">
        <v>137224.47</v>
      </c>
      <c r="C11" s="22" t="n">
        <v>116070</v>
      </c>
      <c r="D11" s="22" t="n">
        <f aca="false">C11-B11</f>
        <v>-21154.47</v>
      </c>
      <c r="E11" s="23" t="n">
        <f aca="false">IFERROR((C11-B11)/B11,"")</f>
        <v>-0.154159604332959</v>
      </c>
    </row>
    <row r="12" customFormat="false" ht="15" hidden="false" customHeight="false" outlineLevel="0" collapsed="false">
      <c r="A12" s="21" t="s">
        <v>30</v>
      </c>
      <c r="B12" s="22" t="n">
        <v>80500</v>
      </c>
      <c r="C12" s="22" t="n">
        <v>156910</v>
      </c>
      <c r="D12" s="22" t="n">
        <f aca="false">C12-B12</f>
        <v>76410</v>
      </c>
      <c r="E12" s="23" t="n">
        <f aca="false">IFERROR((C12-B12)/B12,"")</f>
        <v>0.949192546583851</v>
      </c>
    </row>
    <row r="13" customFormat="false" ht="15" hidden="false" customHeight="false" outlineLevel="0" collapsed="false">
      <c r="A13" s="24" t="s">
        <v>31</v>
      </c>
      <c r="B13" s="25" t="n">
        <v>10000</v>
      </c>
      <c r="C13" s="25" t="n">
        <v>9900</v>
      </c>
      <c r="D13" s="25" t="n">
        <f aca="false">C13-B13</f>
        <v>-100</v>
      </c>
      <c r="E13" s="26" t="n">
        <f aca="false">IFERROR((C13-B13)/B13,"")</f>
        <v>-0.01</v>
      </c>
    </row>
    <row r="14" customFormat="false" ht="15" hidden="false" customHeight="false" outlineLevel="0" collapsed="false">
      <c r="A14" s="24" t="s">
        <v>32</v>
      </c>
      <c r="B14" s="25" t="n">
        <v>19500</v>
      </c>
      <c r="C14" s="25" t="n">
        <v>18000</v>
      </c>
      <c r="D14" s="25" t="n">
        <f aca="false">C14-B14</f>
        <v>-1500</v>
      </c>
      <c r="E14" s="26" t="n">
        <f aca="false">IFERROR((C14-B14)/B14,"")</f>
        <v>-0.0769230769230769</v>
      </c>
    </row>
    <row r="15" customFormat="false" ht="15" hidden="false" customHeight="false" outlineLevel="0" collapsed="false">
      <c r="A15" s="24" t="s">
        <v>33</v>
      </c>
      <c r="B15" s="25" t="n">
        <v>13000</v>
      </c>
      <c r="C15" s="25" t="n">
        <v>10750</v>
      </c>
      <c r="D15" s="25" t="n">
        <f aca="false">C15-B15</f>
        <v>-2250</v>
      </c>
      <c r="E15" s="26" t="n">
        <f aca="false">IFERROR((C15-B15)/B15,"")</f>
        <v>-0.173076923076923</v>
      </c>
    </row>
    <row r="16" customFormat="false" ht="15" hidden="false" customHeight="false" outlineLevel="0" collapsed="false">
      <c r="A16" s="24" t="s">
        <v>34</v>
      </c>
      <c r="B16" s="25" t="n">
        <v>8500</v>
      </c>
      <c r="C16" s="25" t="n">
        <v>8000</v>
      </c>
      <c r="D16" s="25" t="n">
        <f aca="false">C16-B16</f>
        <v>-500</v>
      </c>
      <c r="E16" s="26" t="n">
        <f aca="false">IFERROR((C16-B16)/B16,"")</f>
        <v>-0.0588235294117647</v>
      </c>
    </row>
    <row r="17" customFormat="false" ht="15" hidden="false" customHeight="false" outlineLevel="0" collapsed="false">
      <c r="A17" s="24" t="s">
        <v>35</v>
      </c>
      <c r="B17" s="25" t="n">
        <v>7000</v>
      </c>
      <c r="C17" s="25" t="n">
        <v>6800</v>
      </c>
      <c r="D17" s="25" t="n">
        <f aca="false">C17-B17</f>
        <v>-200</v>
      </c>
      <c r="E17" s="26" t="n">
        <f aca="false">IFERROR((C17-B17)/B17,"")</f>
        <v>-0.0285714285714286</v>
      </c>
    </row>
    <row r="18" customFormat="false" ht="15" hidden="false" customHeight="false" outlineLevel="0" collapsed="false">
      <c r="A18" s="24" t="s">
        <v>36</v>
      </c>
      <c r="B18" s="25" t="n">
        <v>8500</v>
      </c>
      <c r="C18" s="25" t="n">
        <v>7250</v>
      </c>
      <c r="D18" s="25" t="n">
        <f aca="false">C18-B18</f>
        <v>-1250</v>
      </c>
      <c r="E18" s="26" t="n">
        <f aca="false">IFERROR((C18-B18)/B18,"")</f>
        <v>-0.147058823529412</v>
      </c>
    </row>
    <row r="19" customFormat="false" ht="15" hidden="false" customHeight="false" outlineLevel="0" collapsed="false">
      <c r="A19" s="24" t="s">
        <v>37</v>
      </c>
      <c r="B19" s="25" t="n">
        <v>7600</v>
      </c>
      <c r="C19" s="25" t="n">
        <v>9760</v>
      </c>
      <c r="D19" s="25" t="n">
        <f aca="false">C19-B19</f>
        <v>2160</v>
      </c>
      <c r="E19" s="26" t="n">
        <f aca="false">IFERROR((C19-B19)/B19,"")</f>
        <v>0.284210526315789</v>
      </c>
    </row>
    <row r="20" customFormat="false" ht="15" hidden="false" customHeight="false" outlineLevel="0" collapsed="false">
      <c r="A20" s="24" t="s">
        <v>38</v>
      </c>
      <c r="B20" s="25" t="n">
        <v>6800</v>
      </c>
      <c r="C20" s="25" t="n">
        <v>47050</v>
      </c>
      <c r="D20" s="25" t="n">
        <f aca="false">C20-B20</f>
        <v>40250</v>
      </c>
      <c r="E20" s="26" t="n">
        <f aca="false">IFERROR((C20-B20)/B20,"")</f>
        <v>5.91911764705882</v>
      </c>
    </row>
    <row r="21" customFormat="false" ht="15" hidden="false" customHeight="false" outlineLevel="0" collapsed="false">
      <c r="A21" s="24" t="s">
        <v>39</v>
      </c>
      <c r="B21" s="25" t="n">
        <v>400</v>
      </c>
      <c r="C21" s="25" t="n">
        <v>3400</v>
      </c>
      <c r="D21" s="25" t="n">
        <f aca="false">C21-B21</f>
        <v>3000</v>
      </c>
      <c r="E21" s="26" t="n">
        <f aca="false">IFERROR((C21-B21)/B21,"")</f>
        <v>7.5</v>
      </c>
    </row>
    <row r="22" customFormat="false" ht="15" hidden="false" customHeight="false" outlineLevel="0" collapsed="false">
      <c r="A22" s="24" t="s">
        <v>40</v>
      </c>
      <c r="B22" s="25"/>
      <c r="C22" s="25" t="n">
        <v>36000</v>
      </c>
      <c r="D22" s="25" t="n">
        <f aca="false">C22-B22</f>
        <v>36000</v>
      </c>
      <c r="E22" s="26" t="str">
        <f aca="false">IFERROR((C22-B22)/B22,"")</f>
        <v/>
      </c>
    </row>
    <row r="23" customFormat="false" ht="15" hidden="false" customHeight="false" outlineLevel="0" collapsed="false">
      <c r="A23" s="21" t="s">
        <v>41</v>
      </c>
      <c r="B23" s="22" t="n">
        <v>75000</v>
      </c>
      <c r="C23" s="22" t="n">
        <v>75000</v>
      </c>
      <c r="D23" s="22" t="n">
        <f aca="false">C23-B23</f>
        <v>0</v>
      </c>
      <c r="E23" s="23" t="n">
        <f aca="false">IFERROR((C23-B23)/B23,"")</f>
        <v>0</v>
      </c>
    </row>
    <row r="24" customFormat="false" ht="15" hidden="false" customHeight="false" outlineLevel="0" collapsed="false">
      <c r="A24" s="24" t="s">
        <v>42</v>
      </c>
      <c r="B24" s="25" t="n">
        <v>15000</v>
      </c>
      <c r="C24" s="25" t="n">
        <v>15000</v>
      </c>
      <c r="D24" s="25" t="n">
        <f aca="false">C24-B24</f>
        <v>0</v>
      </c>
      <c r="E24" s="26" t="n">
        <f aca="false">IFERROR((C24-B24)/B24,"")</f>
        <v>0</v>
      </c>
    </row>
    <row r="25" customFormat="false" ht="15" hidden="false" customHeight="false" outlineLevel="0" collapsed="false">
      <c r="A25" s="24" t="s">
        <v>43</v>
      </c>
      <c r="B25" s="25" t="n">
        <v>15000</v>
      </c>
      <c r="C25" s="25" t="n">
        <v>15000</v>
      </c>
      <c r="D25" s="25" t="n">
        <f aca="false">C25-B25</f>
        <v>0</v>
      </c>
      <c r="E25" s="26" t="n">
        <f aca="false">IFERROR((C25-B25)/B25,"")</f>
        <v>0</v>
      </c>
    </row>
    <row r="26" customFormat="false" ht="15" hidden="false" customHeight="false" outlineLevel="0" collapsed="false">
      <c r="A26" s="24" t="s">
        <v>44</v>
      </c>
      <c r="B26" s="25" t="n">
        <v>15000</v>
      </c>
      <c r="C26" s="25" t="n">
        <v>15000</v>
      </c>
      <c r="D26" s="25" t="n">
        <f aca="false">C26-B26</f>
        <v>0</v>
      </c>
      <c r="E26" s="26" t="n">
        <f aca="false">IFERROR((C26-B26)/B26,"")</f>
        <v>0</v>
      </c>
    </row>
    <row r="27" customFormat="false" ht="15" hidden="false" customHeight="false" outlineLevel="0" collapsed="false">
      <c r="A27" s="24" t="s">
        <v>45</v>
      </c>
      <c r="B27" s="25" t="n">
        <v>15000</v>
      </c>
      <c r="C27" s="25" t="n">
        <v>15000</v>
      </c>
      <c r="D27" s="25" t="n">
        <f aca="false">C27-B27</f>
        <v>0</v>
      </c>
      <c r="E27" s="26" t="n">
        <f aca="false">IFERROR((C27-B27)/B27,"")</f>
        <v>0</v>
      </c>
    </row>
    <row r="28" customFormat="false" ht="15" hidden="false" customHeight="false" outlineLevel="0" collapsed="false">
      <c r="A28" s="24" t="s">
        <v>46</v>
      </c>
      <c r="B28" s="25" t="n">
        <v>15000</v>
      </c>
      <c r="C28" s="25" t="n">
        <v>15000</v>
      </c>
      <c r="D28" s="25" t="n">
        <f aca="false">C28-B28</f>
        <v>0</v>
      </c>
      <c r="E28" s="26" t="n">
        <f aca="false">IFERROR((C28-B28)/B28,"")</f>
        <v>0</v>
      </c>
    </row>
    <row r="29" customFormat="false" ht="15" hidden="false" customHeight="false" outlineLevel="0" collapsed="false">
      <c r="A29" s="21" t="s">
        <v>47</v>
      </c>
      <c r="B29" s="22" t="n">
        <v>12500</v>
      </c>
      <c r="C29" s="22" t="n">
        <v>10000</v>
      </c>
      <c r="D29" s="22" t="n">
        <f aca="false">C29-B29</f>
        <v>-2500</v>
      </c>
      <c r="E29" s="23" t="n">
        <f aca="false">IFERROR((C29-B29)/B29,"")</f>
        <v>-0.2</v>
      </c>
    </row>
    <row r="30" customFormat="false" ht="15" hidden="false" customHeight="false" outlineLevel="0" collapsed="false">
      <c r="A30" s="21" t="s">
        <v>48</v>
      </c>
      <c r="B30" s="22" t="n">
        <v>2550</v>
      </c>
      <c r="C30" s="22" t="n">
        <v>3000</v>
      </c>
      <c r="D30" s="22" t="n">
        <f aca="false">C30-B30</f>
        <v>450</v>
      </c>
      <c r="E30" s="23" t="n">
        <f aca="false">IFERROR((C30-B30)/B30,"")</f>
        <v>0.176470588235294</v>
      </c>
    </row>
    <row r="31" customFormat="false" ht="15" hidden="false" customHeight="false" outlineLevel="0" collapsed="false">
      <c r="A31" s="21" t="s">
        <v>49</v>
      </c>
      <c r="B31" s="22" t="n">
        <v>5000</v>
      </c>
      <c r="C31" s="22" t="n">
        <v>2500</v>
      </c>
      <c r="D31" s="22" t="n">
        <f aca="false">C31-B31</f>
        <v>-2500</v>
      </c>
      <c r="E31" s="23" t="n">
        <f aca="false">IFERROR((C31-B31)/B31,"")</f>
        <v>-0.5</v>
      </c>
    </row>
    <row r="32" customFormat="false" ht="15" hidden="false" customHeight="false" outlineLevel="0" collapsed="false">
      <c r="A32" s="21" t="s">
        <v>50</v>
      </c>
      <c r="B32" s="22" t="n">
        <v>73290</v>
      </c>
      <c r="C32" s="22" t="n">
        <v>70500</v>
      </c>
      <c r="D32" s="22" t="n">
        <f aca="false">C32-B32</f>
        <v>-2790</v>
      </c>
      <c r="E32" s="23" t="n">
        <f aca="false">IFERROR((C32-B32)/B32,"")</f>
        <v>-0.0380679492427343</v>
      </c>
    </row>
    <row r="33" customFormat="false" ht="15" hidden="false" customHeight="false" outlineLevel="0" collapsed="false">
      <c r="A33" s="21" t="s">
        <v>51</v>
      </c>
      <c r="B33" s="22" t="n">
        <v>5000</v>
      </c>
      <c r="C33" s="22" t="n">
        <v>3750</v>
      </c>
      <c r="D33" s="22" t="n">
        <f aca="false">C33-B33</f>
        <v>-1250</v>
      </c>
      <c r="E33" s="23" t="n">
        <f aca="false">IFERROR((C33-B33)/B33,"")</f>
        <v>-0.25</v>
      </c>
    </row>
    <row r="34" customFormat="false" ht="15" hidden="false" customHeight="false" outlineLevel="0" collapsed="false">
      <c r="A34" s="21" t="s">
        <v>28</v>
      </c>
      <c r="B34" s="22" t="n">
        <v>37026.75</v>
      </c>
      <c r="C34" s="22" t="n">
        <v>32709.25</v>
      </c>
      <c r="D34" s="22" t="n">
        <f aca="false">C34-B34</f>
        <v>-4317.5</v>
      </c>
      <c r="E34" s="23" t="n">
        <f aca="false">IFERROR((C34-B34)/B34,"")</f>
        <v>-0.116604887007366</v>
      </c>
    </row>
    <row r="35" customFormat="false" ht="15" hidden="false" customHeight="false" outlineLevel="0" collapsed="false">
      <c r="A35" s="18" t="s">
        <v>52</v>
      </c>
      <c r="B35" s="19" t="n">
        <v>630606.42</v>
      </c>
      <c r="C35" s="19" t="n">
        <v>618565.5</v>
      </c>
      <c r="D35" s="19" t="n">
        <f aca="false">C35-B35</f>
        <v>-12040.92</v>
      </c>
      <c r="E35" s="20" t="n">
        <f aca="false">IFERROR((C35-B35)/B35,"")</f>
        <v>-0.0190941919049921</v>
      </c>
    </row>
    <row r="36" customFormat="false" ht="15" hidden="false" customHeight="false" outlineLevel="0" collapsed="false">
      <c r="A36" s="21" t="s">
        <v>53</v>
      </c>
      <c r="B36" s="22" t="n">
        <v>73890</v>
      </c>
      <c r="C36" s="22" t="n">
        <v>87156</v>
      </c>
      <c r="D36" s="22" t="n">
        <f aca="false">C36-B36</f>
        <v>13266</v>
      </c>
      <c r="E36" s="23" t="n">
        <f aca="false">IFERROR((C36-B36)/B36,"")</f>
        <v>0.179537149817296</v>
      </c>
    </row>
    <row r="37" customFormat="false" ht="15" hidden="false" customHeight="false" outlineLevel="0" collapsed="false">
      <c r="A37" s="24" t="s">
        <v>54</v>
      </c>
      <c r="B37" s="25" t="n">
        <v>8220</v>
      </c>
      <c r="C37" s="25" t="n">
        <v>9396</v>
      </c>
      <c r="D37" s="25" t="n">
        <f aca="false">C37-B37</f>
        <v>1176</v>
      </c>
      <c r="E37" s="26" t="n">
        <f aca="false">IFERROR((C37-B37)/B37,"")</f>
        <v>0.143065693430657</v>
      </c>
    </row>
    <row r="38" customFormat="false" ht="15" hidden="false" customHeight="false" outlineLevel="0" collapsed="false">
      <c r="A38" s="24" t="s">
        <v>55</v>
      </c>
      <c r="B38" s="25" t="n">
        <v>11710</v>
      </c>
      <c r="C38" s="25" t="n">
        <v>6600</v>
      </c>
      <c r="D38" s="25" t="n">
        <f aca="false">C38-B38</f>
        <v>-5110</v>
      </c>
      <c r="E38" s="26" t="n">
        <f aca="false">IFERROR((C38-B38)/B38,"")</f>
        <v>-0.436379163108454</v>
      </c>
    </row>
    <row r="39" customFormat="false" ht="15" hidden="false" customHeight="false" outlineLevel="0" collapsed="false">
      <c r="A39" s="24" t="s">
        <v>56</v>
      </c>
      <c r="B39" s="25" t="n">
        <v>53100</v>
      </c>
      <c r="C39" s="25" t="n">
        <v>19240</v>
      </c>
      <c r="D39" s="25" t="n">
        <f aca="false">C39-B39</f>
        <v>-33860</v>
      </c>
      <c r="E39" s="26" t="n">
        <f aca="false">IFERROR((C39-B39)/B39,"")</f>
        <v>-0.637664783427495</v>
      </c>
    </row>
    <row r="40" customFormat="false" ht="15" hidden="false" customHeight="false" outlineLevel="0" collapsed="false">
      <c r="A40" s="24" t="s">
        <v>57</v>
      </c>
      <c r="B40" s="25" t="n">
        <v>5600</v>
      </c>
      <c r="C40" s="25" t="n">
        <v>1500</v>
      </c>
      <c r="D40" s="25" t="n">
        <f aca="false">C40-B40</f>
        <v>-4100</v>
      </c>
      <c r="E40" s="26" t="n">
        <f aca="false">IFERROR((C40-B40)/B40,"")</f>
        <v>-0.732142857142857</v>
      </c>
    </row>
    <row r="41" customFormat="false" ht="15" hidden="false" customHeight="false" outlineLevel="0" collapsed="false">
      <c r="A41" s="24" t="s">
        <v>58</v>
      </c>
      <c r="B41" s="25" t="n">
        <v>4750</v>
      </c>
      <c r="C41" s="25" t="n">
        <v>7080</v>
      </c>
      <c r="D41" s="25" t="n">
        <f aca="false">C41-B41</f>
        <v>2330</v>
      </c>
      <c r="E41" s="26" t="n">
        <f aca="false">IFERROR((C41-B41)/B41,"")</f>
        <v>0.490526315789474</v>
      </c>
    </row>
    <row r="42" customFormat="false" ht="15" hidden="false" customHeight="false" outlineLevel="0" collapsed="false">
      <c r="A42" s="24" t="s">
        <v>59</v>
      </c>
      <c r="B42" s="25" t="n">
        <v>14150</v>
      </c>
      <c r="C42" s="25" t="n">
        <v>1600</v>
      </c>
      <c r="D42" s="25" t="n">
        <f aca="false">C42-B42</f>
        <v>-12550</v>
      </c>
      <c r="E42" s="26" t="n">
        <f aca="false">IFERROR((C42-B42)/B42,"")</f>
        <v>-0.886925795053004</v>
      </c>
    </row>
    <row r="43" customFormat="false" ht="15" hidden="false" customHeight="false" outlineLevel="0" collapsed="false">
      <c r="A43" s="24" t="s">
        <v>60</v>
      </c>
      <c r="B43" s="25" t="n">
        <v>2500</v>
      </c>
      <c r="C43" s="25" t="n">
        <v>4350</v>
      </c>
      <c r="D43" s="25" t="n">
        <f aca="false">C43-B43</f>
        <v>1850</v>
      </c>
      <c r="E43" s="26" t="n">
        <f aca="false">IFERROR((C43-B43)/B43,"")</f>
        <v>0.74</v>
      </c>
    </row>
    <row r="44" customFormat="false" ht="15" hidden="false" customHeight="false" outlineLevel="0" collapsed="false">
      <c r="A44" s="24" t="s">
        <v>61</v>
      </c>
      <c r="B44" s="25" t="n">
        <v>2500</v>
      </c>
      <c r="C44" s="25" t="n">
        <v>2000</v>
      </c>
      <c r="D44" s="25" t="n">
        <f aca="false">C44-B44</f>
        <v>-500</v>
      </c>
      <c r="E44" s="26" t="n">
        <f aca="false">IFERROR((C44-B44)/B44,"")</f>
        <v>-0.2</v>
      </c>
    </row>
    <row r="45" customFormat="false" ht="15" hidden="false" customHeight="false" outlineLevel="0" collapsed="false">
      <c r="A45" s="24" t="s">
        <v>62</v>
      </c>
      <c r="B45" s="25" t="n">
        <v>2500</v>
      </c>
      <c r="C45" s="25" t="n">
        <v>5200</v>
      </c>
      <c r="D45" s="25" t="n">
        <f aca="false">C45-B45</f>
        <v>2700</v>
      </c>
      <c r="E45" s="26" t="n">
        <f aca="false">IFERROR((C45-B45)/B45,"")</f>
        <v>1.08</v>
      </c>
    </row>
    <row r="46" customFormat="false" ht="15" hidden="false" customHeight="false" outlineLevel="0" collapsed="false">
      <c r="A46" s="24" t="s">
        <v>63</v>
      </c>
      <c r="B46" s="25" t="n">
        <v>2500</v>
      </c>
      <c r="C46" s="25" t="n">
        <v>13590</v>
      </c>
      <c r="D46" s="25" t="n">
        <f aca="false">C46-B46</f>
        <v>11090</v>
      </c>
      <c r="E46" s="26" t="n">
        <f aca="false">IFERROR((C46-B46)/B46,"")</f>
        <v>4.436</v>
      </c>
    </row>
    <row r="47" customFormat="false" ht="15" hidden="false" customHeight="false" outlineLevel="0" collapsed="false">
      <c r="A47" s="24" t="s">
        <v>64</v>
      </c>
      <c r="B47" s="25" t="n">
        <v>4000</v>
      </c>
      <c r="C47" s="25" t="n">
        <v>7000</v>
      </c>
      <c r="D47" s="25" t="n">
        <f aca="false">C47-B47</f>
        <v>3000</v>
      </c>
      <c r="E47" s="26" t="n">
        <f aca="false">IFERROR((C47-B47)/B47,"")</f>
        <v>0.75</v>
      </c>
    </row>
    <row r="48" customFormat="false" ht="15" hidden="false" customHeight="false" outlineLevel="0" collapsed="false">
      <c r="A48" s="24" t="s">
        <v>65</v>
      </c>
      <c r="B48" s="25"/>
      <c r="C48" s="25" t="n">
        <v>800</v>
      </c>
      <c r="D48" s="25" t="n">
        <f aca="false">C48-B48</f>
        <v>800</v>
      </c>
      <c r="E48" s="26" t="str">
        <f aca="false">IFERROR((C48-B48)/B48,"")</f>
        <v/>
      </c>
    </row>
    <row r="49" customFormat="false" ht="15" hidden="false" customHeight="false" outlineLevel="0" collapsed="false">
      <c r="A49" s="24" t="s">
        <v>66</v>
      </c>
      <c r="B49" s="25"/>
      <c r="C49" s="25" t="n">
        <v>8900</v>
      </c>
      <c r="D49" s="25" t="n">
        <f aca="false">C49-B49</f>
        <v>8900</v>
      </c>
      <c r="E49" s="26" t="str">
        <f aca="false">IFERROR((C49-B49)/B49,"")</f>
        <v/>
      </c>
    </row>
    <row r="50" customFormat="false" ht="15" hidden="false" customHeight="false" outlineLevel="0" collapsed="false">
      <c r="A50" s="24" t="s">
        <v>67</v>
      </c>
      <c r="B50" s="25"/>
      <c r="C50" s="25" t="n">
        <v>500</v>
      </c>
      <c r="D50" s="25" t="n">
        <f aca="false">C50-B50</f>
        <v>500</v>
      </c>
      <c r="E50" s="26" t="str">
        <f aca="false">IFERROR((C50-B50)/B50,"")</f>
        <v/>
      </c>
    </row>
    <row r="51" customFormat="false" ht="15" hidden="false" customHeight="false" outlineLevel="0" collapsed="false">
      <c r="A51" s="21" t="s">
        <v>68</v>
      </c>
      <c r="B51" s="22" t="n">
        <v>271531</v>
      </c>
      <c r="C51" s="22" t="n">
        <v>262491</v>
      </c>
      <c r="D51" s="22" t="n">
        <f aca="false">C51-B51</f>
        <v>-9040</v>
      </c>
      <c r="E51" s="23" t="n">
        <f aca="false">IFERROR((C51-B51)/B51,"")</f>
        <v>-0.0332926995444351</v>
      </c>
    </row>
    <row r="52" customFormat="false" ht="15" hidden="false" customHeight="false" outlineLevel="0" collapsed="false">
      <c r="A52" s="24" t="s">
        <v>54</v>
      </c>
      <c r="B52" s="25" t="n">
        <v>44305</v>
      </c>
      <c r="C52" s="25" t="n">
        <v>33050</v>
      </c>
      <c r="D52" s="25" t="n">
        <f aca="false">C52-B52</f>
        <v>-11255</v>
      </c>
      <c r="E52" s="26" t="n">
        <f aca="false">IFERROR((C52-B52)/B52,"")</f>
        <v>-0.254034533348381</v>
      </c>
    </row>
    <row r="53" customFormat="false" ht="15" hidden="false" customHeight="false" outlineLevel="0" collapsed="false">
      <c r="A53" s="24" t="s">
        <v>55</v>
      </c>
      <c r="B53" s="25" t="n">
        <v>53531</v>
      </c>
      <c r="C53" s="25" t="n">
        <v>39340</v>
      </c>
      <c r="D53" s="25" t="n">
        <f aca="false">C53-B53</f>
        <v>-14191</v>
      </c>
      <c r="E53" s="26" t="n">
        <f aca="false">IFERROR((C53-B53)/B53,"")</f>
        <v>-0.265098727839943</v>
      </c>
    </row>
    <row r="54" customFormat="false" ht="15" hidden="false" customHeight="false" outlineLevel="0" collapsed="false">
      <c r="A54" s="24" t="s">
        <v>56</v>
      </c>
      <c r="B54" s="25" t="n">
        <v>43086</v>
      </c>
      <c r="C54" s="25" t="n">
        <v>29098</v>
      </c>
      <c r="D54" s="25" t="n">
        <f aca="false">C54-B54</f>
        <v>-13988</v>
      </c>
      <c r="E54" s="26" t="n">
        <f aca="false">IFERROR((C54-B54)/B54,"")</f>
        <v>-0.324653019542311</v>
      </c>
    </row>
    <row r="55" customFormat="false" ht="15" hidden="false" customHeight="false" outlineLevel="0" collapsed="false">
      <c r="A55" s="24" t="s">
        <v>57</v>
      </c>
      <c r="B55" s="25" t="n">
        <v>23370</v>
      </c>
      <c r="C55" s="25" t="n">
        <v>9556</v>
      </c>
      <c r="D55" s="25" t="n">
        <f aca="false">C55-B55</f>
        <v>-13814</v>
      </c>
      <c r="E55" s="26" t="n">
        <f aca="false">IFERROR((C55-B55)/B55,"")</f>
        <v>-0.591099700470689</v>
      </c>
    </row>
    <row r="56" customFormat="false" ht="15" hidden="false" customHeight="false" outlineLevel="0" collapsed="false">
      <c r="A56" s="24" t="s">
        <v>69</v>
      </c>
      <c r="B56" s="25" t="n">
        <v>31188</v>
      </c>
      <c r="C56" s="25" t="n">
        <v>30890</v>
      </c>
      <c r="D56" s="25" t="n">
        <f aca="false">C56-B56</f>
        <v>-298</v>
      </c>
      <c r="E56" s="26" t="n">
        <f aca="false">IFERROR((C56-B56)/B56,"")</f>
        <v>-0.00955495703475696</v>
      </c>
    </row>
    <row r="57" customFormat="false" ht="15" hidden="false" customHeight="false" outlineLevel="0" collapsed="false">
      <c r="A57" s="24" t="s">
        <v>70</v>
      </c>
      <c r="B57" s="25" t="n">
        <v>22560</v>
      </c>
      <c r="C57" s="25" t="n">
        <v>19785</v>
      </c>
      <c r="D57" s="25" t="n">
        <f aca="false">C57-B57</f>
        <v>-2775</v>
      </c>
      <c r="E57" s="26" t="n">
        <f aca="false">IFERROR((C57-B57)/B57,"")</f>
        <v>-0.123005319148936</v>
      </c>
    </row>
    <row r="58" customFormat="false" ht="15" hidden="false" customHeight="false" outlineLevel="0" collapsed="false">
      <c r="A58" s="24" t="s">
        <v>60</v>
      </c>
      <c r="B58" s="25" t="n">
        <v>17991</v>
      </c>
      <c r="C58" s="25" t="n">
        <v>32926</v>
      </c>
      <c r="D58" s="25" t="n">
        <f aca="false">C58-B58</f>
        <v>14935</v>
      </c>
      <c r="E58" s="26" t="n">
        <f aca="false">IFERROR((C58-B58)/B58,"")</f>
        <v>0.830137290867656</v>
      </c>
    </row>
    <row r="59" customFormat="false" ht="15" hidden="false" customHeight="false" outlineLevel="0" collapsed="false">
      <c r="A59" s="24" t="s">
        <v>61</v>
      </c>
      <c r="B59" s="25" t="n">
        <v>7500</v>
      </c>
      <c r="C59" s="25" t="n">
        <v>7500</v>
      </c>
      <c r="D59" s="25" t="n">
        <f aca="false">C59-B59</f>
        <v>0</v>
      </c>
      <c r="E59" s="26" t="n">
        <f aca="false">IFERROR((C59-B59)/B59,"")</f>
        <v>0</v>
      </c>
    </row>
    <row r="60" customFormat="false" ht="15" hidden="false" customHeight="false" outlineLevel="0" collapsed="false">
      <c r="A60" s="24" t="s">
        <v>62</v>
      </c>
      <c r="B60" s="25" t="n">
        <v>8000</v>
      </c>
      <c r="C60" s="25" t="n">
        <v>8300</v>
      </c>
      <c r="D60" s="25" t="n">
        <f aca="false">C60-B60</f>
        <v>300</v>
      </c>
      <c r="E60" s="26" t="n">
        <f aca="false">IFERROR((C60-B60)/B60,"")</f>
        <v>0.0375</v>
      </c>
    </row>
    <row r="61" customFormat="false" ht="15" hidden="false" customHeight="false" outlineLevel="0" collapsed="false">
      <c r="A61" s="24" t="s">
        <v>63</v>
      </c>
      <c r="B61" s="25" t="n">
        <v>10000</v>
      </c>
      <c r="C61" s="25" t="n">
        <v>10500</v>
      </c>
      <c r="D61" s="25" t="n">
        <f aca="false">C61-B61</f>
        <v>500</v>
      </c>
      <c r="E61" s="26" t="n">
        <f aca="false">IFERROR((C61-B61)/B61,"")</f>
        <v>0.05</v>
      </c>
    </row>
    <row r="62" customFormat="false" ht="15" hidden="false" customHeight="false" outlineLevel="0" collapsed="false">
      <c r="A62" s="24" t="s">
        <v>71</v>
      </c>
      <c r="B62" s="25"/>
      <c r="C62" s="25" t="n">
        <v>1000</v>
      </c>
      <c r="D62" s="25" t="n">
        <f aca="false">C62-B62</f>
        <v>1000</v>
      </c>
      <c r="E62" s="26" t="str">
        <f aca="false">IFERROR((C62-B62)/B62,"")</f>
        <v/>
      </c>
    </row>
    <row r="63" customFormat="false" ht="15" hidden="false" customHeight="false" outlineLevel="0" collapsed="false">
      <c r="A63" s="24" t="s">
        <v>64</v>
      </c>
      <c r="B63" s="25" t="n">
        <v>10000</v>
      </c>
      <c r="C63" s="25" t="n">
        <v>13070</v>
      </c>
      <c r="D63" s="25" t="n">
        <f aca="false">C63-B63</f>
        <v>3070</v>
      </c>
      <c r="E63" s="26" t="n">
        <f aca="false">IFERROR((C63-B63)/B63,"")</f>
        <v>0.307</v>
      </c>
    </row>
    <row r="64" customFormat="false" ht="15" hidden="false" customHeight="false" outlineLevel="0" collapsed="false">
      <c r="A64" s="24" t="s">
        <v>65</v>
      </c>
      <c r="B64" s="25"/>
      <c r="C64" s="25" t="n">
        <v>4200</v>
      </c>
      <c r="D64" s="25" t="n">
        <f aca="false">C64-B64</f>
        <v>4200</v>
      </c>
      <c r="E64" s="26" t="str">
        <f aca="false">IFERROR((C64-B64)/B64,"")</f>
        <v/>
      </c>
    </row>
    <row r="65" customFormat="false" ht="15" hidden="false" customHeight="false" outlineLevel="0" collapsed="false">
      <c r="A65" s="24" t="s">
        <v>72</v>
      </c>
      <c r="B65" s="25"/>
      <c r="C65" s="25" t="n">
        <v>21776</v>
      </c>
      <c r="D65" s="25" t="n">
        <f aca="false">C65-B65</f>
        <v>21776</v>
      </c>
      <c r="E65" s="26" t="str">
        <f aca="false">IFERROR((C65-B65)/B65,"")</f>
        <v/>
      </c>
    </row>
    <row r="66" customFormat="false" ht="15" hidden="false" customHeight="false" outlineLevel="0" collapsed="false">
      <c r="A66" s="24" t="s">
        <v>67</v>
      </c>
      <c r="B66" s="25"/>
      <c r="C66" s="25" t="n">
        <v>1500</v>
      </c>
      <c r="D66" s="25" t="n">
        <f aca="false">C66-B66</f>
        <v>1500</v>
      </c>
      <c r="E66" s="26" t="str">
        <f aca="false">IFERROR((C66-B66)/B66,"")</f>
        <v/>
      </c>
    </row>
    <row r="67" customFormat="false" ht="15" hidden="false" customHeight="false" outlineLevel="0" collapsed="false">
      <c r="A67" s="21" t="s">
        <v>73</v>
      </c>
      <c r="B67" s="22" t="n">
        <v>136131.92</v>
      </c>
      <c r="C67" s="22" t="n">
        <v>140000</v>
      </c>
      <c r="D67" s="22" t="n">
        <f aca="false">C67-B67</f>
        <v>3868.07999999999</v>
      </c>
      <c r="E67" s="23" t="n">
        <f aca="false">IFERROR((C67-B67)/B67,"")</f>
        <v>0.0284142029290411</v>
      </c>
    </row>
    <row r="68" customFormat="false" ht="15" hidden="false" customHeight="false" outlineLevel="0" collapsed="false">
      <c r="A68" s="24" t="s">
        <v>74</v>
      </c>
      <c r="B68" s="25" t="n">
        <v>53931.92</v>
      </c>
      <c r="C68" s="25" t="n">
        <v>55000</v>
      </c>
      <c r="D68" s="25" t="n">
        <f aca="false">C68-B68</f>
        <v>1068.08</v>
      </c>
      <c r="E68" s="26" t="n">
        <f aca="false">IFERROR((C68-B68)/B68,"")</f>
        <v>0.0198042272553991</v>
      </c>
    </row>
    <row r="69" customFormat="false" ht="15" hidden="false" customHeight="false" outlineLevel="0" collapsed="false">
      <c r="A69" s="24" t="s">
        <v>75</v>
      </c>
      <c r="B69" s="25" t="n">
        <v>82200</v>
      </c>
      <c r="C69" s="25" t="n">
        <v>85000</v>
      </c>
      <c r="D69" s="25" t="n">
        <f aca="false">C69-B69</f>
        <v>2800</v>
      </c>
      <c r="E69" s="26" t="n">
        <f aca="false">IFERROR((C69-B69)/B69,"")</f>
        <v>0.0340632603406326</v>
      </c>
    </row>
    <row r="70" customFormat="false" ht="15" hidden="false" customHeight="false" outlineLevel="0" collapsed="false">
      <c r="A70" s="21" t="s">
        <v>76</v>
      </c>
      <c r="B70" s="22" t="n">
        <v>25000</v>
      </c>
      <c r="C70" s="22" t="n">
        <v>25000</v>
      </c>
      <c r="D70" s="22" t="n">
        <f aca="false">C70-B70</f>
        <v>0</v>
      </c>
      <c r="E70" s="23" t="n">
        <f aca="false">IFERROR((C70-B70)/B70,"")</f>
        <v>0</v>
      </c>
    </row>
    <row r="71" customFormat="false" ht="15" hidden="false" customHeight="false" outlineLevel="0" collapsed="false">
      <c r="A71" s="21" t="s">
        <v>77</v>
      </c>
      <c r="B71" s="22" t="n">
        <v>5000</v>
      </c>
      <c r="C71" s="22" t="n">
        <v>5000</v>
      </c>
      <c r="D71" s="22" t="n">
        <f aca="false">C71-B71</f>
        <v>0</v>
      </c>
      <c r="E71" s="23" t="n">
        <f aca="false">IFERROR((C71-B71)/B71,"")</f>
        <v>0</v>
      </c>
    </row>
    <row r="72" customFormat="false" ht="15" hidden="false" customHeight="false" outlineLevel="0" collapsed="false">
      <c r="A72" s="21" t="s">
        <v>78</v>
      </c>
      <c r="B72" s="22" t="n">
        <v>46000</v>
      </c>
      <c r="C72" s="22" t="n">
        <v>33000</v>
      </c>
      <c r="D72" s="22" t="n">
        <f aca="false">C72-B72</f>
        <v>-13000</v>
      </c>
      <c r="E72" s="23" t="n">
        <f aca="false">IFERROR((C72-B72)/B72,"")</f>
        <v>-0.282608695652174</v>
      </c>
    </row>
    <row r="73" customFormat="false" ht="15" hidden="false" customHeight="false" outlineLevel="0" collapsed="false">
      <c r="A73" s="24" t="s">
        <v>79</v>
      </c>
      <c r="B73" s="25"/>
      <c r="C73" s="25" t="n">
        <v>10000</v>
      </c>
      <c r="D73" s="25" t="n">
        <f aca="false">C73-B73</f>
        <v>10000</v>
      </c>
      <c r="E73" s="26" t="str">
        <f aca="false">IFERROR((C73-B73)/B73,"")</f>
        <v/>
      </c>
    </row>
    <row r="74" customFormat="false" ht="15" hidden="false" customHeight="false" outlineLevel="0" collapsed="false">
      <c r="A74" s="24" t="s">
        <v>80</v>
      </c>
      <c r="B74" s="25" t="n">
        <v>5000</v>
      </c>
      <c r="C74" s="25" t="n">
        <v>6500</v>
      </c>
      <c r="D74" s="25" t="n">
        <f aca="false">C74-B74</f>
        <v>1500</v>
      </c>
      <c r="E74" s="26" t="n">
        <f aca="false">IFERROR((C74-B74)/B74,"")</f>
        <v>0.3</v>
      </c>
    </row>
    <row r="75" customFormat="false" ht="15" hidden="false" customHeight="false" outlineLevel="0" collapsed="false">
      <c r="A75" s="24" t="s">
        <v>81</v>
      </c>
      <c r="B75" s="25" t="n">
        <v>41000</v>
      </c>
      <c r="C75" s="25" t="n">
        <v>17000</v>
      </c>
      <c r="D75" s="25" t="n">
        <f aca="false">C75-B75</f>
        <v>-24000</v>
      </c>
      <c r="E75" s="26" t="n">
        <f aca="false">IFERROR((C75-B75)/B75,"")</f>
        <v>-0.585365853658537</v>
      </c>
    </row>
    <row r="76" customFormat="false" ht="15" hidden="false" customHeight="false" outlineLevel="0" collapsed="false">
      <c r="A76" s="21" t="s">
        <v>28</v>
      </c>
      <c r="B76" s="22" t="n">
        <v>74053.5</v>
      </c>
      <c r="C76" s="22" t="n">
        <v>65418.5</v>
      </c>
      <c r="D76" s="22" t="n">
        <f aca="false">C76-B76</f>
        <v>-8635</v>
      </c>
      <c r="E76" s="23" t="n">
        <f aca="false">IFERROR((C76-B76)/B76,"")</f>
        <v>-0.116604887007366</v>
      </c>
    </row>
    <row r="77" customFormat="false" ht="15" hidden="false" customHeight="false" outlineLevel="0" collapsed="false">
      <c r="A77" s="24" t="s">
        <v>82</v>
      </c>
      <c r="B77" s="25" t="n">
        <v>50000</v>
      </c>
      <c r="C77" s="25" t="n">
        <v>46000</v>
      </c>
      <c r="D77" s="25" t="n">
        <f aca="false">C77-B77</f>
        <v>-4000</v>
      </c>
      <c r="E77" s="26" t="n">
        <f aca="false">IFERROR((C77-B77)/B77,"")</f>
        <v>-0.08</v>
      </c>
    </row>
    <row r="78" customFormat="false" ht="15" hidden="false" customHeight="false" outlineLevel="0" collapsed="false">
      <c r="A78" s="24" t="s">
        <v>83</v>
      </c>
      <c r="B78" s="25" t="n">
        <v>25000</v>
      </c>
      <c r="C78" s="25" t="n">
        <v>15000</v>
      </c>
      <c r="D78" s="25" t="n">
        <f aca="false">C78-B78</f>
        <v>-10000</v>
      </c>
      <c r="E78" s="26" t="n">
        <f aca="false">IFERROR((C78-B78)/B78,"")</f>
        <v>-0.4</v>
      </c>
    </row>
    <row r="79" customFormat="false" ht="15" hidden="false" customHeight="false" outlineLevel="0" collapsed="false">
      <c r="A79" s="27" t="s">
        <v>84</v>
      </c>
      <c r="B79" s="28" t="n">
        <v>25000</v>
      </c>
      <c r="C79" s="28" t="n">
        <v>5000</v>
      </c>
      <c r="D79" s="28" t="n">
        <f aca="false">C79-B79</f>
        <v>-20000</v>
      </c>
      <c r="E79" s="29" t="n">
        <f aca="false">IFERROR((C79-B79)/B79,"")</f>
        <v>-0.8</v>
      </c>
    </row>
    <row r="80" customFormat="false" ht="15" hidden="false" customHeight="false" outlineLevel="0" collapsed="false">
      <c r="A80" s="27" t="s">
        <v>85</v>
      </c>
      <c r="B80" s="28"/>
      <c r="C80" s="28" t="n">
        <v>5000</v>
      </c>
      <c r="D80" s="28" t="n">
        <f aca="false">C80-B80</f>
        <v>5000</v>
      </c>
      <c r="E80" s="29" t="str">
        <f aca="false">IFERROR((C80-B80)/B80,"")</f>
        <v/>
      </c>
    </row>
    <row r="81" customFormat="false" ht="15" hidden="false" customHeight="false" outlineLevel="0" collapsed="false">
      <c r="A81" s="27" t="s">
        <v>86</v>
      </c>
      <c r="B81" s="28"/>
      <c r="C81" s="28" t="n">
        <v>5000</v>
      </c>
      <c r="D81" s="28" t="n">
        <f aca="false">C81-B81</f>
        <v>5000</v>
      </c>
      <c r="E81" s="29" t="str">
        <f aca="false">IFERROR((C81-B81)/B81,"")</f>
        <v/>
      </c>
    </row>
    <row r="82" customFormat="false" ht="15" hidden="false" customHeight="false" outlineLevel="0" collapsed="false">
      <c r="A82" s="24" t="s">
        <v>87</v>
      </c>
      <c r="B82" s="25" t="n">
        <v>150000</v>
      </c>
      <c r="C82" s="25" t="n">
        <v>135000</v>
      </c>
      <c r="D82" s="25" t="n">
        <f aca="false">C82-B82</f>
        <v>-15000</v>
      </c>
      <c r="E82" s="26" t="n">
        <f aca="false">IFERROR((C82-B82)/B82,"")</f>
        <v>-0.1</v>
      </c>
    </row>
    <row r="83" customFormat="false" ht="15" hidden="false" customHeight="false" outlineLevel="0" collapsed="false">
      <c r="A83" s="24" t="s">
        <v>88</v>
      </c>
      <c r="B83" s="25" t="n">
        <v>67200</v>
      </c>
      <c r="C83" s="25" t="n">
        <v>66000</v>
      </c>
      <c r="D83" s="25" t="n">
        <f aca="false">C83-B83</f>
        <v>-1200</v>
      </c>
      <c r="E83" s="26" t="n">
        <f aca="false">IFERROR((C83-B83)/B83,"")</f>
        <v>-0.0178571428571429</v>
      </c>
    </row>
    <row r="84" customFormat="false" ht="15" hidden="false" customHeight="false" outlineLevel="0" collapsed="false">
      <c r="A84" s="15" t="s">
        <v>89</v>
      </c>
      <c r="B84" s="16" t="n">
        <v>349572</v>
      </c>
      <c r="C84" s="16" t="n">
        <v>477445</v>
      </c>
      <c r="D84" s="16" t="n">
        <f aca="false">C84-B84</f>
        <v>127873</v>
      </c>
      <c r="E84" s="17" t="n">
        <f aca="false">IFERROR((C84-B84)/B84,"")</f>
        <v>0.365798748183493</v>
      </c>
    </row>
    <row r="85" customFormat="false" ht="15" hidden="false" customHeight="false" outlineLevel="0" collapsed="false">
      <c r="A85" s="18" t="s">
        <v>90</v>
      </c>
      <c r="B85" s="19" t="n">
        <v>319560</v>
      </c>
      <c r="C85" s="19" t="n">
        <v>432700</v>
      </c>
      <c r="D85" s="19" t="n">
        <f aca="false">C85-B85</f>
        <v>113140</v>
      </c>
      <c r="E85" s="20" t="n">
        <f aca="false">IFERROR((C85-B85)/B85,"")</f>
        <v>0.354049317811992</v>
      </c>
    </row>
    <row r="86" customFormat="false" ht="15" hidden="false" customHeight="false" outlineLevel="0" collapsed="false">
      <c r="A86" s="21" t="s">
        <v>91</v>
      </c>
      <c r="B86" s="22" t="n">
        <v>173020</v>
      </c>
      <c r="C86" s="22" t="n">
        <v>209200</v>
      </c>
      <c r="D86" s="22" t="n">
        <f aca="false">C86-B86</f>
        <v>36180</v>
      </c>
      <c r="E86" s="23" t="n">
        <f aca="false">IFERROR((C86-B86)/B86,"")</f>
        <v>0.20910877355219</v>
      </c>
    </row>
    <row r="87" customFormat="false" ht="15" hidden="false" customHeight="false" outlineLevel="0" collapsed="false">
      <c r="A87" s="24" t="s">
        <v>54</v>
      </c>
      <c r="B87" s="25" t="n">
        <v>42460</v>
      </c>
      <c r="C87" s="25" t="n">
        <v>51760</v>
      </c>
      <c r="D87" s="25" t="n">
        <f aca="false">C87-B87</f>
        <v>9300</v>
      </c>
      <c r="E87" s="26" t="n">
        <f aca="false">IFERROR((C87-B87)/B87,"")</f>
        <v>0.219029674988224</v>
      </c>
    </row>
    <row r="88" customFormat="false" ht="15" hidden="false" customHeight="false" outlineLevel="0" collapsed="false">
      <c r="A88" s="24" t="s">
        <v>92</v>
      </c>
      <c r="B88" s="25" t="n">
        <v>86730</v>
      </c>
      <c r="C88" s="25" t="n">
        <v>98502</v>
      </c>
      <c r="D88" s="25" t="n">
        <f aca="false">C88-B88</f>
        <v>11772</v>
      </c>
      <c r="E88" s="26" t="n">
        <f aca="false">IFERROR((C88-B88)/B88,"")</f>
        <v>0.1357315807679</v>
      </c>
    </row>
    <row r="89" customFormat="false" ht="15" hidden="false" customHeight="false" outlineLevel="0" collapsed="false">
      <c r="A89" s="24" t="s">
        <v>93</v>
      </c>
      <c r="B89" s="25" t="n">
        <v>43830</v>
      </c>
      <c r="C89" s="25" t="n">
        <v>58938</v>
      </c>
      <c r="D89" s="25" t="n">
        <f aca="false">C89-B89</f>
        <v>15108</v>
      </c>
      <c r="E89" s="26" t="n">
        <f aca="false">IFERROR((C89-B89)/B89,"")</f>
        <v>0.344695414099932</v>
      </c>
    </row>
    <row r="90" customFormat="false" ht="15" hidden="false" customHeight="false" outlineLevel="0" collapsed="false">
      <c r="A90" s="21" t="s">
        <v>94</v>
      </c>
      <c r="B90" s="22" t="n">
        <v>108040</v>
      </c>
      <c r="C90" s="22" t="n">
        <v>140000</v>
      </c>
      <c r="D90" s="22" t="n">
        <f aca="false">C90-B90</f>
        <v>31960</v>
      </c>
      <c r="E90" s="23" t="n">
        <f aca="false">IFERROR((C90-B90)/B90,"")</f>
        <v>0.295816364309515</v>
      </c>
    </row>
    <row r="91" customFormat="false" ht="15" hidden="false" customHeight="false" outlineLevel="0" collapsed="false">
      <c r="A91" s="24" t="s">
        <v>95</v>
      </c>
      <c r="B91" s="25" t="n">
        <v>99400</v>
      </c>
      <c r="C91" s="25" t="n">
        <v>120000</v>
      </c>
      <c r="D91" s="25" t="n">
        <f aca="false">C91-B91</f>
        <v>20600</v>
      </c>
      <c r="E91" s="26" t="n">
        <f aca="false">IFERROR((C91-B91)/B91,"")</f>
        <v>0.207243460764588</v>
      </c>
    </row>
    <row r="92" customFormat="false" ht="15" hidden="false" customHeight="false" outlineLevel="0" collapsed="false">
      <c r="A92" s="24" t="s">
        <v>96</v>
      </c>
      <c r="B92" s="25" t="n">
        <v>8640</v>
      </c>
      <c r="C92" s="25" t="n">
        <v>20000</v>
      </c>
      <c r="D92" s="25" t="n">
        <f aca="false">C92-B92</f>
        <v>11360</v>
      </c>
      <c r="E92" s="26" t="n">
        <f aca="false">IFERROR((C92-B92)/B92,"")</f>
        <v>1.31481481481481</v>
      </c>
    </row>
    <row r="93" customFormat="false" ht="15" hidden="false" customHeight="false" outlineLevel="0" collapsed="false">
      <c r="A93" s="21" t="s">
        <v>97</v>
      </c>
      <c r="B93" s="22" t="n">
        <v>38500</v>
      </c>
      <c r="C93" s="22" t="n">
        <v>80000</v>
      </c>
      <c r="D93" s="22" t="n">
        <f aca="false">C93-B93</f>
        <v>41500</v>
      </c>
      <c r="E93" s="23" t="n">
        <f aca="false">IFERROR((C93-B93)/B93,"")</f>
        <v>1.07792207792208</v>
      </c>
    </row>
    <row r="94" customFormat="false" ht="15" hidden="false" customHeight="false" outlineLevel="0" collapsed="false">
      <c r="A94" s="24" t="s">
        <v>79</v>
      </c>
      <c r="B94" s="25" t="n">
        <v>38500</v>
      </c>
      <c r="C94" s="25" t="n">
        <v>80000</v>
      </c>
      <c r="D94" s="25" t="n">
        <f aca="false">C94-B94</f>
        <v>41500</v>
      </c>
      <c r="E94" s="26" t="n">
        <f aca="false">IFERROR((C94-B94)/B94,"")</f>
        <v>1.07792207792208</v>
      </c>
    </row>
    <row r="95" customFormat="false" ht="15" hidden="false" customHeight="false" outlineLevel="0" collapsed="false">
      <c r="A95" s="24" t="s">
        <v>81</v>
      </c>
      <c r="B95" s="25"/>
      <c r="C95" s="25" t="n">
        <v>3500</v>
      </c>
      <c r="D95" s="25" t="n">
        <f aca="false">C95-B95</f>
        <v>3500</v>
      </c>
      <c r="E95" s="26" t="str">
        <f aca="false">IFERROR((C95-B95)/B95,"")</f>
        <v/>
      </c>
    </row>
    <row r="96" customFormat="false" ht="15" hidden="false" customHeight="false" outlineLevel="0" collapsed="false">
      <c r="A96" s="18" t="s">
        <v>98</v>
      </c>
      <c r="B96" s="19" t="n">
        <v>30012</v>
      </c>
      <c r="C96" s="19" t="n">
        <v>44745</v>
      </c>
      <c r="D96" s="19" t="n">
        <f aca="false">C96-B96</f>
        <v>14733</v>
      </c>
      <c r="E96" s="20" t="n">
        <f aca="false">IFERROR((C96-B96)/B96,"")</f>
        <v>0.490903638544582</v>
      </c>
    </row>
    <row r="97" customFormat="false" ht="15" hidden="false" customHeight="false" outlineLevel="0" collapsed="false">
      <c r="A97" s="21" t="s">
        <v>91</v>
      </c>
      <c r="B97" s="22" t="n">
        <v>30012</v>
      </c>
      <c r="C97" s="22" t="n">
        <v>42495</v>
      </c>
      <c r="D97" s="22" t="n">
        <f aca="false">C97-B97</f>
        <v>12483</v>
      </c>
      <c r="E97" s="23" t="n">
        <f aca="false">IFERROR((C97-B97)/B97,"")</f>
        <v>0.41593362654938</v>
      </c>
    </row>
    <row r="98" customFormat="false" ht="15" hidden="false" customHeight="false" outlineLevel="0" collapsed="false">
      <c r="A98" s="24" t="s">
        <v>54</v>
      </c>
      <c r="B98" s="25" t="n">
        <v>16270</v>
      </c>
      <c r="C98" s="25" t="n">
        <v>9090</v>
      </c>
      <c r="D98" s="25" t="n">
        <f aca="false">C98-B98</f>
        <v>-7180</v>
      </c>
      <c r="E98" s="26" t="n">
        <f aca="false">IFERROR((C98-B98)/B98,"")</f>
        <v>-0.441303011677935</v>
      </c>
    </row>
    <row r="99" customFormat="false" ht="15" hidden="false" customHeight="false" outlineLevel="0" collapsed="false">
      <c r="A99" s="24" t="s">
        <v>55</v>
      </c>
      <c r="B99" s="25"/>
      <c r="C99" s="25" t="n">
        <v>20325</v>
      </c>
      <c r="D99" s="25" t="n">
        <f aca="false">C99-B99</f>
        <v>20325</v>
      </c>
      <c r="E99" s="26" t="str">
        <f aca="false">IFERROR((C99-B99)/B99,"")</f>
        <v/>
      </c>
    </row>
    <row r="100" customFormat="false" ht="15" hidden="false" customHeight="false" outlineLevel="0" collapsed="false">
      <c r="A100" s="24" t="s">
        <v>58</v>
      </c>
      <c r="B100" s="25"/>
      <c r="C100" s="25" t="n">
        <v>13080</v>
      </c>
      <c r="D100" s="25" t="n">
        <f aca="false">C100-B100</f>
        <v>13080</v>
      </c>
      <c r="E100" s="26" t="str">
        <f aca="false">IFERROR((C100-B100)/B100,"")</f>
        <v/>
      </c>
    </row>
    <row r="101" customFormat="false" ht="15" hidden="false" customHeight="false" outlineLevel="0" collapsed="false">
      <c r="A101" s="21" t="s">
        <v>79</v>
      </c>
      <c r="B101" s="22"/>
      <c r="C101" s="22" t="n">
        <v>1500</v>
      </c>
      <c r="D101" s="22" t="n">
        <f aca="false">C101-B101</f>
        <v>1500</v>
      </c>
      <c r="E101" s="23" t="str">
        <f aca="false">IFERROR((C101-B101)/B101,"")</f>
        <v/>
      </c>
    </row>
    <row r="102" customFormat="false" ht="15" hidden="false" customHeight="false" outlineLevel="0" collapsed="false">
      <c r="A102" s="21" t="s">
        <v>81</v>
      </c>
      <c r="B102" s="22"/>
      <c r="C102" s="22" t="n">
        <v>750</v>
      </c>
      <c r="D102" s="22" t="n">
        <f aca="false">C102-B102</f>
        <v>750</v>
      </c>
      <c r="E102" s="23" t="str">
        <f aca="false">IFERROR((C102-B102)/B102,"")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11"/>
  </cols>
  <sheetData>
    <row r="1" customFormat="false" ht="17.35" hidden="false" customHeight="false" outlineLevel="0" collapsed="false">
      <c r="A1" s="9" t="s">
        <v>99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10" t="s">
        <v>21</v>
      </c>
      <c r="B4" s="11" t="s">
        <v>2</v>
      </c>
      <c r="C4" s="11" t="s">
        <v>3</v>
      </c>
      <c r="D4" s="11" t="s">
        <v>22</v>
      </c>
      <c r="E4" s="11" t="s">
        <v>23</v>
      </c>
    </row>
    <row r="5" customFormat="false" ht="15" hidden="false" customHeight="false" outlineLevel="0" collapsed="false">
      <c r="A5" s="12" t="s">
        <v>100</v>
      </c>
      <c r="B5" s="13" t="n">
        <v>1831846</v>
      </c>
      <c r="C5" s="13" t="n">
        <v>2021159</v>
      </c>
      <c r="D5" s="13" t="n">
        <f aca="false">C5-B5</f>
        <v>189313</v>
      </c>
      <c r="E5" s="14" t="n">
        <f aca="false">IFERROR((C5-B5)/B5,"")</f>
        <v>0.103345477731207</v>
      </c>
    </row>
    <row r="6" customFormat="false" ht="15" hidden="false" customHeight="false" outlineLevel="0" collapsed="false">
      <c r="A6" s="15" t="s">
        <v>101</v>
      </c>
      <c r="B6" s="16" t="n">
        <v>13600</v>
      </c>
      <c r="C6" s="16" t="n">
        <v>14000</v>
      </c>
      <c r="D6" s="16" t="n">
        <f aca="false">C6-B6</f>
        <v>400</v>
      </c>
      <c r="E6" s="17" t="n">
        <f aca="false">IFERROR((C6-B6)/B6,"")</f>
        <v>0.0294117647058824</v>
      </c>
    </row>
    <row r="7" customFormat="false" ht="15" hidden="false" customHeight="false" outlineLevel="0" collapsed="false">
      <c r="A7" s="15" t="s">
        <v>102</v>
      </c>
      <c r="B7" s="16" t="n">
        <v>300750</v>
      </c>
      <c r="C7" s="16" t="n">
        <v>378500</v>
      </c>
      <c r="D7" s="16" t="n">
        <f aca="false">C7-B7</f>
        <v>77750</v>
      </c>
      <c r="E7" s="17" t="n">
        <f aca="false">IFERROR((C7-B7)/B7,"")</f>
        <v>0.258520365752286</v>
      </c>
    </row>
    <row r="8" customFormat="false" ht="15" hidden="false" customHeight="false" outlineLevel="0" collapsed="false">
      <c r="A8" s="18" t="s">
        <v>103</v>
      </c>
      <c r="B8" s="19" t="n">
        <v>93000</v>
      </c>
      <c r="C8" s="19" t="n">
        <v>93000</v>
      </c>
      <c r="D8" s="19" t="n">
        <f aca="false">C8-B8</f>
        <v>0</v>
      </c>
      <c r="E8" s="20" t="n">
        <f aca="false">IFERROR((C8-B8)/B8,"")</f>
        <v>0</v>
      </c>
    </row>
    <row r="9" customFormat="false" ht="15" hidden="false" customHeight="false" outlineLevel="0" collapsed="false">
      <c r="A9" s="18" t="s">
        <v>104</v>
      </c>
      <c r="B9" s="19" t="n">
        <v>700</v>
      </c>
      <c r="C9" s="19" t="n">
        <v>500</v>
      </c>
      <c r="D9" s="19" t="n">
        <f aca="false">C9-B9</f>
        <v>-200</v>
      </c>
      <c r="E9" s="20" t="n">
        <f aca="false">IFERROR((C9-B9)/B9,"")</f>
        <v>-0.285714285714286</v>
      </c>
    </row>
    <row r="10" customFormat="false" ht="15" hidden="false" customHeight="false" outlineLevel="0" collapsed="false">
      <c r="A10" s="18" t="s">
        <v>105</v>
      </c>
      <c r="B10" s="19" t="n">
        <v>38000</v>
      </c>
      <c r="C10" s="19" t="n">
        <v>38000</v>
      </c>
      <c r="D10" s="19" t="n">
        <f aca="false">C10-B10</f>
        <v>0</v>
      </c>
      <c r="E10" s="20" t="n">
        <f aca="false">IFERROR((C10-B10)/B10,"")</f>
        <v>0</v>
      </c>
    </row>
    <row r="11" customFormat="false" ht="15" hidden="false" customHeight="false" outlineLevel="0" collapsed="false">
      <c r="A11" s="18" t="s">
        <v>106</v>
      </c>
      <c r="B11" s="19" t="n">
        <v>36550</v>
      </c>
      <c r="C11" s="19" t="n">
        <v>35000</v>
      </c>
      <c r="D11" s="19" t="n">
        <f aca="false">C11-B11</f>
        <v>-1550</v>
      </c>
      <c r="E11" s="20" t="n">
        <f aca="false">IFERROR((C11-B11)/B11,"")</f>
        <v>-0.0424076607387141</v>
      </c>
    </row>
    <row r="12" customFormat="false" ht="15" hidden="false" customHeight="false" outlineLevel="0" collapsed="false">
      <c r="A12" s="18" t="s">
        <v>107</v>
      </c>
      <c r="B12" s="19" t="n">
        <v>25000</v>
      </c>
      <c r="C12" s="19" t="n">
        <v>20000</v>
      </c>
      <c r="D12" s="19" t="n">
        <f aca="false">C12-B12</f>
        <v>-5000</v>
      </c>
      <c r="E12" s="20" t="n">
        <f aca="false">IFERROR((C12-B12)/B12,"")</f>
        <v>-0.2</v>
      </c>
    </row>
    <row r="13" customFormat="false" ht="15" hidden="false" customHeight="false" outlineLevel="0" collapsed="false">
      <c r="A13" s="18" t="s">
        <v>108</v>
      </c>
      <c r="B13" s="19" t="n">
        <v>107500</v>
      </c>
      <c r="C13" s="19" t="n">
        <v>192000</v>
      </c>
      <c r="D13" s="19" t="n">
        <f aca="false">C13-B13</f>
        <v>84500</v>
      </c>
      <c r="E13" s="20" t="n">
        <f aca="false">IFERROR((C13-B13)/B13,"")</f>
        <v>0.786046511627907</v>
      </c>
    </row>
    <row r="14" customFormat="false" ht="15" hidden="false" customHeight="false" outlineLevel="0" collapsed="false">
      <c r="A14" s="15" t="s">
        <v>109</v>
      </c>
      <c r="B14" s="16" t="n">
        <v>1517496</v>
      </c>
      <c r="C14" s="16" t="n">
        <v>1628660</v>
      </c>
      <c r="D14" s="16" t="n">
        <f aca="false">C14-B14</f>
        <v>111164</v>
      </c>
      <c r="E14" s="17" t="n">
        <f aca="false">IFERROR((C14-B14)/B14,"")</f>
        <v>0.0732548883160153</v>
      </c>
    </row>
    <row r="15" customFormat="false" ht="15" hidden="false" customHeight="false" outlineLevel="0" collapsed="false">
      <c r="A15" s="18" t="s">
        <v>110</v>
      </c>
      <c r="B15" s="19" t="n">
        <v>1211500</v>
      </c>
      <c r="C15" s="19" t="n">
        <v>1246500</v>
      </c>
      <c r="D15" s="19" t="n">
        <f aca="false">C15-B15</f>
        <v>35000</v>
      </c>
      <c r="E15" s="20" t="n">
        <f aca="false">IFERROR((C15-B15)/B15,"")</f>
        <v>0.0288898060255881</v>
      </c>
    </row>
    <row r="16" customFormat="false" ht="15" hidden="false" customHeight="false" outlineLevel="0" collapsed="false">
      <c r="A16" s="21" t="s">
        <v>111</v>
      </c>
      <c r="B16" s="22" t="n">
        <v>1086000</v>
      </c>
      <c r="C16" s="22" t="n">
        <v>1086000</v>
      </c>
      <c r="D16" s="22" t="n">
        <f aca="false">C16-B16</f>
        <v>0</v>
      </c>
      <c r="E16" s="23" t="n">
        <f aca="false">IFERROR((C16-B16)/B16,"")</f>
        <v>0</v>
      </c>
    </row>
    <row r="17" customFormat="false" ht="15" hidden="false" customHeight="false" outlineLevel="0" collapsed="false">
      <c r="A17" s="21" t="s">
        <v>82</v>
      </c>
      <c r="B17" s="22" t="n">
        <v>13000</v>
      </c>
      <c r="C17" s="22" t="n">
        <v>13000</v>
      </c>
      <c r="D17" s="22" t="n">
        <f aca="false">C17-B17</f>
        <v>0</v>
      </c>
      <c r="E17" s="23" t="n">
        <f aca="false">IFERROR((C17-B17)/B17,"")</f>
        <v>0</v>
      </c>
    </row>
    <row r="18" customFormat="false" ht="15" hidden="false" customHeight="false" outlineLevel="0" collapsed="false">
      <c r="A18" s="21" t="s">
        <v>112</v>
      </c>
      <c r="B18" s="22" t="n">
        <v>12500</v>
      </c>
      <c r="C18" s="22" t="n">
        <v>12500</v>
      </c>
      <c r="D18" s="22" t="n">
        <f aca="false">C18-B18</f>
        <v>0</v>
      </c>
      <c r="E18" s="23" t="n">
        <f aca="false">IFERROR((C18-B18)/B18,"")</f>
        <v>0</v>
      </c>
    </row>
    <row r="19" customFormat="false" ht="15" hidden="false" customHeight="false" outlineLevel="0" collapsed="false">
      <c r="A19" s="21" t="s">
        <v>87</v>
      </c>
      <c r="B19" s="22" t="n">
        <v>100000</v>
      </c>
      <c r="C19" s="22" t="n">
        <v>135000</v>
      </c>
      <c r="D19" s="22" t="n">
        <f aca="false">C19-B19</f>
        <v>35000</v>
      </c>
      <c r="E19" s="23" t="n">
        <f aca="false">IFERROR((C19-B19)/B19,"")</f>
        <v>0.35</v>
      </c>
    </row>
    <row r="20" customFormat="false" ht="15" hidden="false" customHeight="false" outlineLevel="0" collapsed="false">
      <c r="A20" s="18" t="s">
        <v>113</v>
      </c>
      <c r="B20" s="19" t="n">
        <v>293496</v>
      </c>
      <c r="C20" s="19" t="n">
        <v>382160</v>
      </c>
      <c r="D20" s="19" t="n">
        <f aca="false">C20-B20</f>
        <v>88664</v>
      </c>
      <c r="E20" s="20" t="n">
        <f aca="false">IFERROR((C20-B20)/B20,"")</f>
        <v>0.302096110338812</v>
      </c>
    </row>
    <row r="21" customFormat="false" ht="15" hidden="false" customHeight="false" outlineLevel="0" collapsed="false">
      <c r="A21" s="21" t="s">
        <v>114</v>
      </c>
      <c r="B21" s="22" t="n">
        <v>234000</v>
      </c>
      <c r="C21" s="22" t="n">
        <v>300000</v>
      </c>
      <c r="D21" s="22" t="n">
        <f aca="false">C21-B21</f>
        <v>66000</v>
      </c>
      <c r="E21" s="23" t="n">
        <f aca="false">IFERROR((C21-B21)/B21,"")</f>
        <v>0.282051282051282</v>
      </c>
    </row>
    <row r="22" customFormat="false" ht="15" hidden="false" customHeight="false" outlineLevel="0" collapsed="false">
      <c r="A22" s="21" t="s">
        <v>94</v>
      </c>
      <c r="B22" s="22" t="n">
        <v>38160</v>
      </c>
      <c r="C22" s="22" t="n">
        <v>38160</v>
      </c>
      <c r="D22" s="22" t="n">
        <f aca="false">C22-B22</f>
        <v>0</v>
      </c>
      <c r="E22" s="23" t="n">
        <f aca="false">IFERROR((C22-B22)/B22,"")</f>
        <v>0</v>
      </c>
    </row>
    <row r="23" customFormat="false" ht="15" hidden="false" customHeight="false" outlineLevel="0" collapsed="false">
      <c r="A23" s="21" t="s">
        <v>115</v>
      </c>
      <c r="B23" s="22" t="n">
        <v>21336</v>
      </c>
      <c r="C23" s="22" t="n">
        <v>44000</v>
      </c>
      <c r="D23" s="22" t="n">
        <f aca="false">C23-B23</f>
        <v>22664</v>
      </c>
      <c r="E23" s="23" t="n">
        <f aca="false">IFERROR((C23-B23)/B23,"")</f>
        <v>1.06224221972253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2026-06-29T16:10:21Z</dcterms:created>
  <dc:creator>openpyxl</dc:creator>
  <dc:description/>
  <dc:language>en-US</dc:language>
  <cp:lastModifiedBy/>
  <dcterms:modified xsi:type="dcterms:W3CDTF">2026-06-29T16:10:21Z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